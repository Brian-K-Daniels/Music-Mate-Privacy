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CSharp\Source Code\MusicMate\M004\Docs\"/>
    </mc:Choice>
  </mc:AlternateContent>
  <xr:revisionPtr revIDLastSave="0" documentId="13_ncr:1_{A534490B-2823-48CB-AB52-02DC6F4A5261}" xr6:coauthVersionLast="47" xr6:coauthVersionMax="47" xr10:uidLastSave="{00000000-0000-0000-0000-000000000000}"/>
  <bookViews>
    <workbookView xWindow="15870" yWindow="260" windowWidth="22490" windowHeight="20210" xr2:uid="{00000000-000D-0000-FFFF-FFFF00000000}"/>
  </bookViews>
  <sheets>
    <sheet name="Music Mate Focus" sheetId="1" r:id="rId1"/>
  </sheets>
  <calcPr calcId="191029"/>
</workbook>
</file>

<file path=xl/calcChain.xml><?xml version="1.0" encoding="utf-8"?>
<calcChain xmlns="http://schemas.openxmlformats.org/spreadsheetml/2006/main">
  <c r="A9" i="1" l="1"/>
  <c r="A10" i="1" s="1"/>
  <c r="A11" i="1" s="1"/>
  <c r="A12" i="1" s="1"/>
  <c r="A13" i="1" s="1"/>
  <c r="A14" i="1" s="1"/>
  <c r="A15" i="1" s="1"/>
  <c r="G5" i="1"/>
  <c r="E5" i="1"/>
  <c r="C5" i="1"/>
  <c r="A5" i="1"/>
</calcChain>
</file>

<file path=xl/sharedStrings.xml><?xml version="1.0" encoding="utf-8"?>
<sst xmlns="http://schemas.openxmlformats.org/spreadsheetml/2006/main" count="70" uniqueCount="58">
  <si>
    <t>MUSIC MATE — NEXT DEVELOPMENT FOCUS</t>
  </si>
  <si>
    <t>A practical shortlist drawn from your recent development questions • Update Status and Priority as work changes</t>
  </si>
  <si>
    <t>OPEN ITEMS</t>
  </si>
  <si>
    <t>HIGH PRIORITY</t>
  </si>
  <si>
    <t>DONE</t>
  </si>
  <si>
    <t>CURRENT FOCUS</t>
  </si>
  <si>
    <t>Rank</t>
  </si>
  <si>
    <t>Priority</t>
  </si>
  <si>
    <t>Status</t>
  </si>
  <si>
    <t>Task</t>
  </si>
  <si>
    <t>Why it matters</t>
  </si>
  <si>
    <t>Definition of done</t>
  </si>
  <si>
    <t>Suggested next action</t>
  </si>
  <si>
    <t>Cursor-ready prompt</t>
  </si>
  <si>
    <t>High</t>
  </si>
  <si>
    <t>Confirm status</t>
  </si>
  <si>
    <t>Keep By Level visibly selected</t>
  </si>
  <si>
    <t>The interface should not appear to change the user's mode after generation.</t>
  </si>
  <si>
    <t>Generating By Level content does not switch the visible picker to Tunes or another category.</t>
  </si>
  <si>
    <t>Separate the selected mode from the generated content type in view-model state.</t>
  </si>
  <si>
    <t>When By Level generates a tune, keep the UI selection displayed as Other &gt; By Level. Do not change the visible category or item to Tunes. Separate generation result state from user selection state, add a regression test, and preserve existing generation behavior.</t>
  </si>
  <si>
    <t>Make composition sliders drive By Level</t>
  </si>
  <si>
    <t>The Random/Scales/Arpeggios/Tunes percentages should control what learners receive.</t>
  </si>
  <si>
    <t>Observed generation proportions follow enabled slider weights; zero excludes a category.</t>
  </si>
  <si>
    <t>Trace the By Level selection path and centralize weighted category choice.</t>
  </si>
  <si>
    <t>Make the By Level composition sliders actually determine the weighted choice among Random, Scales, Arpeggios, and Tunes. Treat zero as disabled, handle totals that do not equal 100 safely, preserve level eligibility rules, and add deterministic tests using a seeded or injectable random source.</t>
  </si>
  <si>
    <t>Medium</t>
  </si>
  <si>
    <t>Cycle eligible tunes before repeating</t>
  </si>
  <si>
    <t>Variety prevents Mary Had a Little Lamb from recurring too often.</t>
  </si>
  <si>
    <t>Every eligible tune appears once before any tune repeats, across navigation and regeneration.</t>
  </si>
  <si>
    <t>Maintain a shuffled persisted queue keyed to the current eligibility set.</t>
  </si>
  <si>
    <t>For Tunes and tune choices made by By Level, cycle through every currently eligible tune before repeating one. Shuffle each new cycle, reset safely when eligibility changes, persist only if consistent with existing session behavior, and add tests for no early repeats.</t>
  </si>
  <si>
    <t>Cache Statistics page results</t>
  </si>
  <si>
    <t>Returning to statistics should feel immediate.</t>
  </si>
  <si>
    <t>Second visit reuses valid results; cache invalidates after relevant attempt/session data changes.</t>
  </si>
  <si>
    <t>Define a version or dirty flag in the statistics data service, not in the page.</t>
  </si>
  <si>
    <t>Cache the computed Statistics page view model after the first load so returning is fast. Invalidate it only when relevant NoteAttempt or session data changes. Keep the cache out of the page UI, avoid stale results, and add a focused test for reuse and invalidation.</t>
  </si>
  <si>
    <t>Finish Debug Items controls</t>
  </si>
  <si>
    <t>Per-tag switches make noisy diagnostics manageable without affecting release builds.</t>
  </si>
  <si>
    <t>Debug-only page lists tags; OFF suppresses both the log and associated diagnostic-only work.</t>
  </si>
  <si>
    <t>Centralize tag checks behind one DEBUG-only service and verify release exclusion.</t>
  </si>
  <si>
    <t>Implement or review the DEBUG-only Debug Items hamburger page. Give each debug-log tag a persisted switch. When OFF, skip both the message and code performed solely for that diagnostic. Centralize checks, avoid release overhead, and add tests for enabled and disabled tags.</t>
  </si>
  <si>
    <t>Stabilize Preferences tests</t>
  </si>
  <si>
    <t>Reliable tests let you change MAUI settings without fragile initialization failures.</t>
  </si>
  <si>
    <t>All tests pass without requiring a full MAUI app startup and preferences are isolated per test.</t>
  </si>
  <si>
    <t>Wrap Preferences behind an interface and inject an in-memory test implementation.</t>
  </si>
  <si>
    <t>Fix tests that fail because Preferences requires MAUI initialization. Introduce or use an injectable preferences abstraction with an in-memory test implementation. Keep production behavior unchanged, avoid global test leakage, and run the full test suite.</t>
  </si>
  <si>
    <t>Low</t>
  </si>
  <si>
    <t>Add conductor beat arrows</t>
  </si>
  <si>
    <t>Beat markers can help children connect notation with conducting patterns.</t>
  </si>
  <si>
    <t>4/4 shows four correctly aligned beat arrows; 6/8 shows two compound-beat arrows.</t>
  </si>
  <si>
    <t>Derive positions from beat time and drawing geometry rather than note count.</t>
  </si>
  <si>
    <t>Add small conductor arrowheads above each beat on the staff: four in 4/4 and two dotted-quarter beats in 6/8. Position them from musical time and existing staff geometry, respect safe-area compression, avoid collisions, and add drawing-logic tests where practical.</t>
  </si>
  <si>
    <t>Verify safe-area behavior across devices</t>
  </si>
  <si>
    <t>Pixel-specific fixes should generalize without wasting screen width.</t>
  </si>
  <si>
    <t>Cutouts are respected on devices with insets; devices without cutouts do not receive an unnecessary 80 px loss.</t>
  </si>
  <si>
    <t>Test real insets first and use the fallback only when inset data is unavailable.</t>
  </si>
  <si>
    <t>Review ISafeAreaService and V3 staff-width calculations. Use actual Android WindowInsets/DisplayCutout values when available and apply the 80 px fallback only when required. Test landscape with the camera band on either side and confirm notes, pickers, and staff graphics are not clipped.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</si>
</sst>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8"/>
      <color rgb="FFFFFFFF"/>
      <name val="Carlito"/>
    </font>
    <font>
      <i/>
      <sz val="10"/>
      <color rgb="FF425466"/>
      <name val="Carlito"/>
    </font>
    <font>
      <b/>
      <sz val="9"/>
      <color rgb="FF17324D"/>
      <name val="Carlito"/>
    </font>
    <font>
      <b/>
      <sz val="18"/>
      <color rgb="FF0F766E"/>
      <name val="Carlito"/>
    </font>
    <font>
      <b/>
      <sz val="11"/>
      <color rgb="FF0F766E"/>
      <name val="Carlito"/>
    </font>
    <font>
      <b/>
      <sz val="10"/>
      <color rgb="FFFFFFFF"/>
      <name val="Carlito"/>
    </font>
    <font>
      <sz val="9"/>
      <color rgb="FF263746"/>
      <name val="Carlito"/>
    </font>
    <font>
      <b/>
      <sz val="9"/>
      <color rgb="FF60758A"/>
      <name val="Carlito"/>
    </font>
  </fonts>
  <fills count="7">
    <fill>
      <patternFill patternType="none"/>
    </fill>
    <fill>
      <patternFill patternType="gray125"/>
    </fill>
    <fill>
      <patternFill patternType="solid">
        <fgColor rgb="FF17324D"/>
      </patternFill>
    </fill>
    <fill>
      <patternFill patternType="solid">
        <fgColor rgb="FFEAF0F6"/>
      </patternFill>
    </fill>
    <fill>
      <patternFill patternType="solid">
        <fgColor rgb="FFD8E6F3"/>
      </patternFill>
    </fill>
    <fill>
      <patternFill patternType="solid">
        <fgColor rgb="FFF7FAFC"/>
      </patternFill>
    </fill>
    <fill>
      <patternFill patternType="solid">
        <fgColor rgb="FFF6F9FC"/>
      </patternFill>
    </fill>
  </fills>
  <borders count="6">
    <border>
      <left/>
      <right/>
      <top/>
      <bottom/>
      <diagonal/>
    </border>
    <border>
      <left style="thin">
        <color rgb="FFB8C8D8"/>
      </left>
      <right/>
      <top style="thin">
        <color rgb="FFB8C8D8"/>
      </top>
      <bottom style="thin">
        <color rgb="FFB8C8D8"/>
      </bottom>
      <diagonal/>
    </border>
    <border>
      <left/>
      <right style="thin">
        <color rgb="FFB8C8D8"/>
      </right>
      <top style="thin">
        <color rgb="FFB8C8D8"/>
      </top>
      <bottom style="thin">
        <color rgb="FFB8C8D8"/>
      </bottom>
      <diagonal/>
    </border>
    <border>
      <left/>
      <right/>
      <top/>
      <bottom style="medium">
        <color rgb="FF0F766E"/>
      </bottom>
      <diagonal/>
    </border>
    <border>
      <left/>
      <right/>
      <top style="thin">
        <color rgb="FFDCE4EA"/>
      </top>
      <bottom style="thin">
        <color rgb="FFDCE4EA"/>
      </bottom>
      <diagonal/>
    </border>
    <border>
      <left/>
      <right/>
      <top style="thin">
        <color rgb="FFDCE4EA"/>
      </top>
      <bottom/>
      <diagonal/>
    </border>
  </borders>
  <cellStyleXfs count="1">
    <xf numFmtId="0" fontId="0" fillId="0" borderId="0"/>
  </cellStyleXfs>
  <cellXfs count="18">
    <xf numFmtId="0" fontId="0" fillId="0" borderId="0" xfId="0"/>
    <xf numFmtId="0" fontId="6" fillId="2" borderId="3" xfId="0" applyFont="1" applyFill="1" applyBorder="1" applyAlignment="1">
      <alignment vertical="center" wrapText="1"/>
    </xf>
    <xf numFmtId="0" fontId="7" fillId="0" borderId="4" xfId="0" applyFont="1" applyBorder="1" applyAlignment="1">
      <alignment vertical="top" wrapText="1"/>
    </xf>
    <xf numFmtId="0" fontId="7" fillId="0" borderId="5" xfId="0" applyFont="1" applyBorder="1" applyAlignment="1">
      <alignment vertical="top" wrapText="1"/>
    </xf>
    <xf numFmtId="0" fontId="8" fillId="0" borderId="4"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3" fillId="0" borderId="4" xfId="0" applyFont="1" applyBorder="1" applyAlignment="1">
      <alignment vertical="top" wrapText="1"/>
    </xf>
    <xf numFmtId="0" fontId="3" fillId="0" borderId="5" xfId="0" applyFont="1" applyBorder="1" applyAlignment="1">
      <alignment vertical="top" wrapText="1"/>
    </xf>
    <xf numFmtId="0" fontId="7" fillId="6" borderId="4" xfId="0" applyFont="1" applyFill="1" applyBorder="1" applyAlignment="1">
      <alignment vertical="top" wrapText="1"/>
    </xf>
    <xf numFmtId="0" fontId="7" fillId="6" borderId="5" xfId="0" applyFont="1"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xf>
    <xf numFmtId="0" fontId="3" fillId="4" borderId="0" xfId="0" applyFont="1" applyFill="1" applyAlignment="1">
      <alignment horizontal="center"/>
    </xf>
    <xf numFmtId="0" fontId="4" fillId="5" borderId="1" xfId="0" applyFont="1" applyFill="1" applyBorder="1" applyAlignment="1">
      <alignment horizontal="center" vertical="center"/>
    </xf>
    <xf numFmtId="0" fontId="4" fillId="5" borderId="2" xfId="0" applyFont="1" applyFill="1" applyBorder="1" applyAlignment="1">
      <alignment horizontal="center" vertical="center"/>
    </xf>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wrapText="1"/>
    </xf>
  </cellXfs>
  <cellStyles count="1">
    <cellStyle name="Normal" xfId="0" builtinId="0"/>
  </cellStyles>
  <dxfs count="4">
    <dxf>
      <font>
        <b/>
        <color rgb="FF067647"/>
      </font>
      <fill>
        <patternFill patternType="solid">
          <bgColor rgb="FFDDF5E7"/>
        </patternFill>
      </fill>
    </dxf>
    <dxf>
      <font>
        <b/>
        <color rgb="FF175CD3"/>
      </font>
      <fill>
        <patternFill patternType="solid">
          <bgColor rgb="FFDCEEFF"/>
        </patternFill>
      </fill>
    </dxf>
    <dxf>
      <font>
        <b/>
        <color rgb="FF8A5A00"/>
      </font>
      <fill>
        <patternFill patternType="solid">
          <bgColor rgb="FFFFF4D6"/>
        </patternFill>
      </fill>
    </dxf>
    <dxf>
      <font>
        <b/>
        <color rgb="FFB42318"/>
      </font>
      <fill>
        <patternFill patternType="solid">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usicMateFocusTable" displayName="MusicMateFocusTable" ref="A7:H15" totalsRowShown="0">
  <tableColumns count="8">
    <tableColumn id="1" xr3:uid="{00000000-0010-0000-0000-000001000000}" name="Rank"/>
    <tableColumn id="2" xr3:uid="{00000000-0010-0000-0000-000002000000}" name="Priority"/>
    <tableColumn id="3" xr3:uid="{00000000-0010-0000-0000-000003000000}" name="Status"/>
    <tableColumn id="4" xr3:uid="{00000000-0010-0000-0000-000004000000}" name="Task"/>
    <tableColumn id="5" xr3:uid="{00000000-0010-0000-0000-000005000000}" name="Why it matters"/>
    <tableColumn id="6" xr3:uid="{00000000-0010-0000-0000-000006000000}" name="Definition of done"/>
    <tableColumn id="7" xr3:uid="{00000000-0010-0000-0000-000007000000}" name="Suggested next action"/>
    <tableColumn id="8" xr3:uid="{00000000-0010-0000-0000-000008000000}" name="Cursor-ready promp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showGridLines="0" tabSelected="1" topLeftCell="A3" workbookViewId="0">
      <selection activeCell="D8" sqref="D8"/>
    </sheetView>
  </sheetViews>
  <sheetFormatPr defaultRowHeight="14"/>
  <cols>
    <col min="1" max="1" width="7" customWidth="1"/>
    <col min="2" max="2" width="10" customWidth="1"/>
    <col min="3" max="3" width="15" customWidth="1"/>
    <col min="4" max="4" width="25" customWidth="1"/>
    <col min="5" max="5" width="31" customWidth="1"/>
    <col min="6" max="6" width="34" customWidth="1"/>
    <col min="7" max="7" width="30" customWidth="1"/>
    <col min="8" max="8" width="56" customWidth="1"/>
  </cols>
  <sheetData>
    <row r="1" spans="1:8" ht="32" customHeight="1">
      <c r="A1" s="11" t="s">
        <v>0</v>
      </c>
      <c r="B1" s="11"/>
      <c r="C1" s="11"/>
      <c r="D1" s="11"/>
      <c r="E1" s="11"/>
      <c r="F1" s="11"/>
      <c r="G1" s="11"/>
      <c r="H1" s="11"/>
    </row>
    <row r="2" spans="1:8" ht="25" customHeight="1">
      <c r="A2" s="12" t="s">
        <v>1</v>
      </c>
      <c r="B2" s="12"/>
      <c r="C2" s="12"/>
      <c r="D2" s="12"/>
      <c r="E2" s="12"/>
      <c r="F2" s="12"/>
      <c r="G2" s="12"/>
      <c r="H2" s="12"/>
    </row>
    <row r="4" spans="1:8" ht="25" customHeight="1">
      <c r="A4" s="13" t="s">
        <v>2</v>
      </c>
      <c r="B4" s="13"/>
      <c r="C4" s="13" t="s">
        <v>3</v>
      </c>
      <c r="D4" s="13"/>
      <c r="E4" s="13" t="s">
        <v>4</v>
      </c>
      <c r="F4" s="13"/>
      <c r="G4" s="13" t="s">
        <v>5</v>
      </c>
      <c r="H4" s="13"/>
    </row>
    <row r="5" spans="1:8" ht="25" customHeight="1">
      <c r="A5" s="14">
        <f>COUNTIF(C8:C15,"&lt;&gt;Done")</f>
        <v>8</v>
      </c>
      <c r="B5" s="15"/>
      <c r="C5" s="14">
        <f>COUNTIF(B8:B15,"High")</f>
        <v>2</v>
      </c>
      <c r="D5" s="15"/>
      <c r="E5" s="14">
        <f>COUNTIF(C8:C15,"Done")</f>
        <v>0</v>
      </c>
      <c r="F5" s="15"/>
      <c r="G5" s="16" t="str">
        <f>IFERROR(INDEX(D8:D15,MATCH("In Progress",C8:C15,0)),"Choose an item below")</f>
        <v>Choose an item below</v>
      </c>
      <c r="H5" s="17"/>
    </row>
    <row r="7" spans="1:8" ht="34" customHeight="1">
      <c r="A7" s="1" t="s">
        <v>6</v>
      </c>
      <c r="B7" s="1" t="s">
        <v>7</v>
      </c>
      <c r="C7" s="1" t="s">
        <v>8</v>
      </c>
      <c r="D7" s="1" t="s">
        <v>9</v>
      </c>
      <c r="E7" s="1" t="s">
        <v>10</v>
      </c>
      <c r="F7" s="1" t="s">
        <v>11</v>
      </c>
      <c r="G7" s="1" t="s">
        <v>12</v>
      </c>
      <c r="H7" s="1" t="s">
        <v>13</v>
      </c>
    </row>
    <row r="8" spans="1:8" ht="92" customHeight="1">
      <c r="A8" s="4">
        <v>1</v>
      </c>
      <c r="B8" s="5" t="s">
        <v>14</v>
      </c>
      <c r="C8" s="5" t="s">
        <v>15</v>
      </c>
      <c r="D8" s="7" t="s">
        <v>16</v>
      </c>
      <c r="E8" s="2" t="s">
        <v>17</v>
      </c>
      <c r="F8" s="2" t="s">
        <v>18</v>
      </c>
      <c r="G8" s="2" t="s">
        <v>19</v>
      </c>
      <c r="H8" s="9" t="s">
        <v>20</v>
      </c>
    </row>
    <row r="9" spans="1:8" ht="92" customHeight="1">
      <c r="A9" s="4">
        <f t="shared" ref="A9:A15" si="0">A8+1</f>
        <v>2</v>
      </c>
      <c r="B9" s="5" t="s">
        <v>14</v>
      </c>
      <c r="C9" s="5" t="s">
        <v>15</v>
      </c>
      <c r="D9" s="7" t="s">
        <v>21</v>
      </c>
      <c r="E9" s="2" t="s">
        <v>22</v>
      </c>
      <c r="F9" s="2" t="s">
        <v>23</v>
      </c>
      <c r="G9" s="2" t="s">
        <v>24</v>
      </c>
      <c r="H9" s="9" t="s">
        <v>25</v>
      </c>
    </row>
    <row r="10" spans="1:8" ht="92" customHeight="1">
      <c r="A10" s="4">
        <f t="shared" si="0"/>
        <v>3</v>
      </c>
      <c r="B10" s="5" t="s">
        <v>26</v>
      </c>
      <c r="C10" s="5" t="s">
        <v>15</v>
      </c>
      <c r="D10" s="7" t="s">
        <v>27</v>
      </c>
      <c r="E10" s="2" t="s">
        <v>28</v>
      </c>
      <c r="F10" s="2" t="s">
        <v>29</v>
      </c>
      <c r="G10" s="2" t="s">
        <v>30</v>
      </c>
      <c r="H10" s="9" t="s">
        <v>31</v>
      </c>
    </row>
    <row r="11" spans="1:8" ht="92" customHeight="1">
      <c r="A11" s="4">
        <f t="shared" si="0"/>
        <v>4</v>
      </c>
      <c r="B11" s="5" t="s">
        <v>26</v>
      </c>
      <c r="C11" s="5" t="s">
        <v>15</v>
      </c>
      <c r="D11" s="7" t="s">
        <v>32</v>
      </c>
      <c r="E11" s="2" t="s">
        <v>33</v>
      </c>
      <c r="F11" s="2" t="s">
        <v>34</v>
      </c>
      <c r="G11" s="2" t="s">
        <v>35</v>
      </c>
      <c r="H11" s="9" t="s">
        <v>36</v>
      </c>
    </row>
    <row r="12" spans="1:8" ht="92" customHeight="1">
      <c r="A12" s="4">
        <f t="shared" si="0"/>
        <v>5</v>
      </c>
      <c r="B12" s="5" t="s">
        <v>26</v>
      </c>
      <c r="C12" s="5" t="s">
        <v>15</v>
      </c>
      <c r="D12" s="7" t="s">
        <v>37</v>
      </c>
      <c r="E12" s="2" t="s">
        <v>38</v>
      </c>
      <c r="F12" s="2" t="s">
        <v>39</v>
      </c>
      <c r="G12" s="2" t="s">
        <v>40</v>
      </c>
      <c r="H12" s="9" t="s">
        <v>41</v>
      </c>
    </row>
    <row r="13" spans="1:8" ht="92" customHeight="1">
      <c r="A13" s="4">
        <f t="shared" si="0"/>
        <v>6</v>
      </c>
      <c r="B13" s="5" t="s">
        <v>26</v>
      </c>
      <c r="C13" s="5" t="s">
        <v>15</v>
      </c>
      <c r="D13" s="7" t="s">
        <v>42</v>
      </c>
      <c r="E13" s="2" t="s">
        <v>43</v>
      </c>
      <c r="F13" s="2" t="s">
        <v>44</v>
      </c>
      <c r="G13" s="2" t="s">
        <v>45</v>
      </c>
      <c r="H13" s="9" t="s">
        <v>46</v>
      </c>
    </row>
    <row r="14" spans="1:8" ht="92" customHeight="1">
      <c r="A14" s="4">
        <f t="shared" si="0"/>
        <v>7</v>
      </c>
      <c r="B14" s="5" t="s">
        <v>47</v>
      </c>
      <c r="C14" s="5" t="s">
        <v>15</v>
      </c>
      <c r="D14" s="7" t="s">
        <v>48</v>
      </c>
      <c r="E14" s="2" t="s">
        <v>49</v>
      </c>
      <c r="F14" s="2" t="s">
        <v>50</v>
      </c>
      <c r="G14" s="2" t="s">
        <v>51</v>
      </c>
      <c r="H14" s="9" t="s">
        <v>52</v>
      </c>
    </row>
    <row r="15" spans="1:8" ht="92" customHeight="1">
      <c r="A15" s="4">
        <f t="shared" si="0"/>
        <v>8</v>
      </c>
      <c r="B15" s="6" t="s">
        <v>47</v>
      </c>
      <c r="C15" s="6" t="s">
        <v>15</v>
      </c>
      <c r="D15" s="8" t="s">
        <v>53</v>
      </c>
      <c r="E15" s="3" t="s">
        <v>54</v>
      </c>
      <c r="F15" s="3" t="s">
        <v>55</v>
      </c>
      <c r="G15" s="3" t="s">
        <v>56</v>
      </c>
      <c r="H15" s="10" t="s">
        <v>57</v>
      </c>
    </row>
  </sheetData>
  <mergeCells count="10">
    <mergeCell ref="A5:B5"/>
    <mergeCell ref="C5:D5"/>
    <mergeCell ref="E5:F5"/>
    <mergeCell ref="G5:H5"/>
    <mergeCell ref="A1:H1"/>
    <mergeCell ref="A2:H2"/>
    <mergeCell ref="A4:B4"/>
    <mergeCell ref="C4:D4"/>
    <mergeCell ref="E4:F4"/>
    <mergeCell ref="G4:H4"/>
  </mergeCells>
  <conditionalFormatting sqref="B8:B15">
    <cfRule type="cellIs" dxfId="3" priority="1" operator="equal">
      <formula>"High"</formula>
    </cfRule>
    <cfRule type="cellIs" dxfId="2" priority="2" operator="equal">
      <formula>"Medium"</formula>
    </cfRule>
  </conditionalFormatting>
  <conditionalFormatting sqref="C8:C15">
    <cfRule type="cellIs" dxfId="1" priority="3" operator="equal">
      <formula>"In Progress"</formula>
    </cfRule>
    <cfRule type="cellIs" dxfId="0" priority="4" operator="equal">
      <formula>"Done"</formula>
    </cfRule>
  </conditionalFormatting>
  <dataValidations count="2">
    <dataValidation type="list" sqref="B8:B15" xr:uid="{00000000-0002-0000-0000-000000000000}">
      <formula1>"High,Medium,Low"</formula1>
    </dataValidation>
    <dataValidation type="list" sqref="C8:C15" xr:uid="{00000000-0002-0000-0000-000001000000}">
      <formula1>"Confirm status,Not Started,In Progress,Blocked,Done"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Music Mate Focus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Daniels</cp:lastModifiedBy>
  <dcterms:modified xsi:type="dcterms:W3CDTF">2026-07-18T00:41:21Z</dcterms:modified>
</cp:coreProperties>
</file>